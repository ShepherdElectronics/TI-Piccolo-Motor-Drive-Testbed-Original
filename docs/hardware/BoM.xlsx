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  <sheet state="visible" name="EXTRA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tc={d0fb5a7e-9f4c-4e53-8ecf-0551c21f1d88}</author>
  </authors>
  <commentList>
    <comment authorId="0" xr:uid="{d0fb5a7e-9f4c-4e53-8ecf-0551c21f1d88}" ref="A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 not need, but is cheap
</t>
      </text>
    </comment>
  </commentList>
</comments>
</file>

<file path=xl/sharedStrings.xml><?xml version="1.0" encoding="utf-8"?>
<sst xmlns="http://schemas.openxmlformats.org/spreadsheetml/2006/main" count="90" uniqueCount="79">
  <si>
    <t>Item</t>
  </si>
  <si>
    <t>Description</t>
  </si>
  <si>
    <t>Quantity</t>
  </si>
  <si>
    <t>Link1</t>
  </si>
  <si>
    <t>Price1</t>
  </si>
  <si>
    <t>Order status</t>
  </si>
  <si>
    <t>Link2</t>
  </si>
  <si>
    <t>Price2</t>
  </si>
  <si>
    <t>Comments</t>
  </si>
  <si>
    <t>Justification</t>
  </si>
  <si>
    <t>USB Cable</t>
  </si>
  <si>
    <t>USB-A to Mini-B (for LaunchPad)</t>
  </si>
  <si>
    <t>https://www.digikey.com/en/products/detail/stewart-connector/SC-2ANK006F/8544575?s=N4IgTCBcDaIMoGEC0YCCA5A0gBmwNgDEQBdAXyA</t>
  </si>
  <si>
    <t>have 11 (6 extra)</t>
  </si>
  <si>
    <t>https://www.digikey.com/en/products/detail/qualtek/3021009-06/1531292</t>
  </si>
  <si>
    <t>-</t>
  </si>
  <si>
    <t>TI ships a short cord, so a longer (&gt;=3 ft) one would be phenominal</t>
  </si>
  <si>
    <t>DC Power Supply</t>
  </si>
  <si>
    <t xml:space="preserve">24 V DC, ≥5 A </t>
  </si>
  <si>
    <t>https://www.digikey.com/en/products/detail/edgelight-llc/AD-EL-2401200-Z/16499552</t>
  </si>
  <si>
    <t>have 7 (2 extra)</t>
  </si>
  <si>
    <t>https://www.digikey.com/en/products/detail/edgelight-llc/AD-EL-2401440-Z/15648211</t>
  </si>
  <si>
    <t xml:space="preserve">24V, at least 5A, driver boards support up to ~15-20 A each </t>
  </si>
  <si>
    <t>Cheap PSUs work for setup but not intense testing; aggressive acceleration may require more wattage, consequently adding risk too. For the current trials this should be more than enough.</t>
  </si>
  <si>
    <t>3-Phase Motor Drive BoosterPack</t>
  </si>
  <si>
    <t>BOOSTXL-DRV8305EVM</t>
  </si>
  <si>
    <t>https://www.ti.com/tool/BOOSTXL-DRV8305EVM#order-start-development</t>
  </si>
  <si>
    <t>have 11. buy 4 more after 30 days</t>
  </si>
  <si>
    <t>https://www.digikey.com/en/products/detail/texas-instruments/BOOSTXL-DRV8305EVM/5761583</t>
  </si>
  <si>
    <t>https://www.mouser.com/ProductDetail/Texas-Instruments/BOOSTXL-DRV8305EVM?qs=Fobv33ltQGjq5TUavsUsrA%3D%3D</t>
  </si>
  <si>
    <t>One per motor</t>
  </si>
  <si>
    <t>F28069M LaunchPad</t>
  </si>
  <si>
    <t>LAUNCHXL-F28069M</t>
  </si>
  <si>
    <t>https://www.ti.com/tool/LAUNCHXL-F28069M#order-start-development</t>
  </si>
  <si>
    <t>Have 7 (2 extra)</t>
  </si>
  <si>
    <t>Microcontroller</t>
  </si>
  <si>
    <t>2MTR-DYNO</t>
  </si>
  <si>
    <t>TI KIT</t>
  </si>
  <si>
    <t>https://www.ti.com/tool/2MTR-DYNO</t>
  </si>
  <si>
    <t>have 5. buy 2 more after 30 days</t>
  </si>
  <si>
    <t>https://www.digikey.com/en/products/detail/texas-instruments/2MTR-DYNO/4457822</t>
  </si>
  <si>
    <t>Dyno kit</t>
  </si>
  <si>
    <t>DC Pigtail 18 AWG</t>
  </si>
  <si>
    <t xml:space="preserve">JacobsParts 3ft 5.5x2.5mm Female </t>
  </si>
  <si>
    <t>https://www.amazon.com/dp/B09CLPB977?ref=fed_asin_title&amp;th=1</t>
  </si>
  <si>
    <t>have 10 (5 extra)</t>
  </si>
  <si>
    <t>https://www.newegg.com/jacobsparts-dcconn-h-surveillance-system-security-camera-kit/p/0Z2-025E-00005?item=9SIA20PJZG8866&amp;utm_source=google&amp;utm_medium=organic+shopping&amp;utm_campaign=knc-googleadwords-_-surveillance%20-%20security%20systems-_-jacobsparts%20inc.-_-9SIA20PJZG8866&amp;source=region</t>
  </si>
  <si>
    <t>replaces hookup wire</t>
  </si>
  <si>
    <t>Hookup wire</t>
  </si>
  <si>
    <t>16 AWG</t>
  </si>
  <si>
    <t>https://www.amazon.com/dp/B00TG1TRL2?ref=fed_asin_title&amp;th=1</t>
  </si>
  <si>
    <t xml:space="preserve">ordered 5 ft </t>
  </si>
  <si>
    <t>https://www.amazon.com/BNTECHGO-Electric-Gauge-Tinned-Copper/dp/B0852V18W1/ref=sr_1_20?crid=19R7MK3B2CUJV&amp;dib=eyJ2IjoiMSJ9.RyiS7pHjOW_ts_Egp6L6hIqDbHxk3zJGLWxD-NWelkEMN5zTPljnI8Ug4Df8_x6nORHNRAV085SF4ZSpCWaIzE1sduOGGW_F9vQBwXiFbpP-r0UDMRKp5uC9ZYZG0pEbhv9XYZ7bp1Y36FCoEZFH9ZmntPGiXZRz4LmfCAFL5IcD6Uw2Kgz54Y-n7imXIkdQFPzsaf3JQ-czkDnIHWEnCBLPvME87G3KO_opA-2JQUeeGgRx6ixexmoI9w8SGzFyo8nBeaKmtfSZwDMuJRVQJkB1nsV5rV1t2qkBcOTcgFw._TUUPzW1-BTsz6SNVKWgAToAKgA0jfvFeIA41qAiMbU&amp;dib_tag=se&amp;keywords=20%2BAWG%2Bsingle%2Bstrand%2Bwire&amp;qid=1771790509&amp;s=hi&amp;sprefix=20%2Bawg%2Bsingle%2Bstrand%2Bwir%2Ctools%2C198&amp;sr=1-20&amp;th=1</t>
  </si>
  <si>
    <t>For VDC</t>
  </si>
  <si>
    <t>Status</t>
  </si>
  <si>
    <t>Diff Probe</t>
  </si>
  <si>
    <t>50 MHz HV differential probe</t>
  </si>
  <si>
    <t>https://www.testequity.com/product/51134-1-TA041?gad_source=1&amp;gad_campaignid=17424156653&amp;gbraid=0AAAAACbfxe2sTjL22FpcmXvjyWTFCE_kp&amp;gclid=CjwKCAjw89jGBhB0EiwA2o1On13359J1VfI760k987tRYkglMU3si6lbQEzFhuvNRqiGTfJPrwhDzhoCmgkQAvD_BwE</t>
  </si>
  <si>
    <t>don't need; read into Simulink</t>
  </si>
  <si>
    <t>https://www.tequipment.net/Siglent/DPB1300/Active-Differential-Oscilloscope-Probes/?Source=googleshopping&amp;gad_source=1&amp;gad_campaignid=21089227821&amp;gbraid=0AAAAA9blpJWd7ldc6f9eTjWYSLc31jhzx&amp;gclid=CjwKCAjw89jGBhB0EiwA2o1On1F7vjeLeWBaMgjC1dTTd87nToSLbDXoGQ2SCtRA0l595A0ao3SdlBoCKZ4QAvD_BwE</t>
  </si>
  <si>
    <t>Needs ≥100 V differential rating, ≥20 MHz bandwidth, low input capacitance (~&lt;10 pF). (This covers 24 V bus and PWM edges at ~10–20 kHz.)</t>
  </si>
  <si>
    <t>Current Probe</t>
  </si>
  <si>
    <t>AC/DC current clamp</t>
  </si>
  <si>
    <t>https://www.tequipment.net/AEMCSL261.html?Source=googleshopping&amp;srsltid=AfmBOorX6L4sR8NBlqvjcvMCXo3rj8NIdNdUGyVdUWhgkcMylKVL7hypV-o</t>
  </si>
  <si>
    <t>https://www.testequity.com/product/20005234-UT-P41</t>
  </si>
  <si>
    <t>Needs DC to ≥50 kHz bandwidth, ±20–30 A range, 10–100 mV/A scaling. (We have about ~5–10 A peak phase currents from the dyno motors.)</t>
  </si>
  <si>
    <t>Oscilloscope?</t>
  </si>
  <si>
    <t>If there are no extra</t>
  </si>
  <si>
    <t>https://www.digikey.com/en/products/detail/siglent-technologies-na-inc/SDS1052DL-/10455174</t>
  </si>
  <si>
    <t>https://www.testequity.com/product/20005157-UPO1204</t>
  </si>
  <si>
    <t>L050-3/8</t>
  </si>
  <si>
    <r>
      <rPr>
        <rFont val="Arial"/>
        <color rgb="FF1155CC"/>
        <u/>
      </rPr>
      <t>🔗 Coupling Half</t>
    </r>
  </si>
  <si>
    <r>
      <rPr>
        <rFont val="Arial"/>
        <color rgb="FF1155CC"/>
        <u/>
      </rPr>
      <t>🔗 RuggedMade – L050 Hub</t>
    </r>
  </si>
  <si>
    <r>
      <rPr>
        <rFont val="Arial"/>
        <color theme="1"/>
      </rPr>
      <t xml:space="preserve">TI </t>
    </r>
    <r>
      <rPr>
        <rFont val="Arial"/>
        <i/>
        <color theme="1"/>
      </rPr>
      <t xml:space="preserve">should </t>
    </r>
    <r>
      <rPr>
        <rFont val="Arial"/>
        <color theme="1"/>
      </rPr>
      <t xml:space="preserve">ship couplers with the 2MTR-DYNO and if not, </t>
    </r>
    <r>
      <rPr>
        <rFont val="Arial"/>
        <i/>
        <color theme="1"/>
      </rPr>
      <t xml:space="preserve">should </t>
    </r>
    <r>
      <rPr>
        <rFont val="Arial"/>
        <color theme="1"/>
      </rPr>
      <t>provide one given the order numbers</t>
    </r>
  </si>
  <si>
    <t>Coupler</t>
  </si>
  <si>
    <t>L050NBR</t>
  </si>
  <si>
    <r>
      <rPr>
        <rFont val="Arial"/>
        <color rgb="FF1155CC"/>
        <u/>
      </rPr>
      <t>🔗 Spider Insert</t>
    </r>
  </si>
  <si>
    <r>
      <rPr>
        <rFont val="Arial"/>
        <color rgb="FF1155CC"/>
        <u/>
      </rPr>
      <t>🔗 RuggedMade – L050 Spider</t>
    </r>
  </si>
  <si>
    <t>Again we should not need this given TI cooperates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</si>
</sst>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1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color rgb="FF000000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color rgb="FF000000"/>
      <name val="Arial"/>
      <scheme val="minor"/>
    </font>
    <font>
      <color rgb="FF0F1111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b/>
      <color theme="1"/>
      <name val="Arial"/>
      <scheme val="minor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1" numFmtId="165" xfId="0" applyAlignment="1" applyFont="1" applyNumberFormat="1">
      <alignment readingOrder="0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0" fontId="8" numFmtId="0" xfId="0" applyAlignment="1" applyFont="1">
      <alignment readingOrder="0"/>
    </xf>
    <xf borderId="0" fillId="2" fontId="9" numFmtId="0" xfId="0" applyAlignment="1" applyFill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0" numFmtId="165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0" fontId="13" numFmtId="0" xfId="0" applyFont="1"/>
    <xf borderId="0" fillId="0" fontId="10" numFmtId="0" xfId="0" applyFont="1"/>
    <xf borderId="0" fillId="0" fontId="2" numFmtId="0" xfId="0" applyAlignment="1" applyFont="1">
      <alignment horizontal="right" readingOrder="0" vertical="bottom"/>
    </xf>
    <xf borderId="0" fillId="0" fontId="14" numFmtId="165" xfId="0" applyAlignment="1" applyFont="1" applyNumberFormat="1">
      <alignment vertical="bottom"/>
    </xf>
    <xf borderId="0" fillId="0" fontId="10" numFmtId="0" xfId="0" applyAlignment="1" applyFont="1">
      <alignment readingOrder="0"/>
    </xf>
    <xf borderId="0" fillId="0" fontId="2" numFmtId="165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onathan Hernandez" id="{8d01efe5-b8f4-467c-9f37-a17f9e5d4c3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8" dT="2026-02-08T15:00:40.00" personId="{8d01efe5-b8f4-467c-9f37-a17f9e5d4c3b}" id="{d0fb5a7e-9f4c-4e53-8ecf-0551c21f1d88}" done="0">
    <x18tc:text xml:space="preserve">May not need, but is cheap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mazon.com/dp/B09CLPB977?ref=fed_asin_title&amp;th=1" TargetMode="External"/><Relationship Id="rId10" Type="http://schemas.openxmlformats.org/officeDocument/2006/relationships/hyperlink" Target="https://www.digikey.com/en/products/detail/texas-instruments/2MTR-DYNO/4457822" TargetMode="External"/><Relationship Id="rId13" Type="http://schemas.openxmlformats.org/officeDocument/2006/relationships/hyperlink" Target="https://www.amazon.com/dp/B00TG1TRL2?ref=fed_asin_title&amp;th=1" TargetMode="External"/><Relationship Id="rId12" Type="http://schemas.openxmlformats.org/officeDocument/2006/relationships/hyperlink" Target="https://www.newegg.com/jacobsparts-dcconn-h-surveillance-system-security-camera-kit/p/0Z2-025E-00005?item=9SIA20PJZG8866&amp;utm_source=google&amp;utm_medium=organic+shopping&amp;utm_campaign=knc-googleadwords-_-surveillance%20-%20security%20systems-_-jacobsparts%20inc.-_-9SIA20PJZG8866&amp;source=region" TargetMode="External"/><Relationship Id="rId1" Type="http://schemas.openxmlformats.org/officeDocument/2006/relationships/hyperlink" Target="https://www.digikey.com/en/products/detail/stewart-connector/SC-2ANK006F/8544575?s=N4IgTCBcDaIMoGEC0YCCA5A0gBmwNgDEQBdAXyA" TargetMode="External"/><Relationship Id="rId2" Type="http://schemas.openxmlformats.org/officeDocument/2006/relationships/hyperlink" Target="https://www.digikey.com/en/products/detail/qualtek/3021009-06/1531292" TargetMode="External"/><Relationship Id="rId3" Type="http://schemas.openxmlformats.org/officeDocument/2006/relationships/hyperlink" Target="https://www.digikey.com/en/products/detail/edgelight-llc/AD-EL-2401200-Z/16499552" TargetMode="External"/><Relationship Id="rId4" Type="http://schemas.openxmlformats.org/officeDocument/2006/relationships/hyperlink" Target="https://www.digikey.com/en/products/detail/edgelight-llc/AD-EL-2401440-Z/15648211" TargetMode="External"/><Relationship Id="rId9" Type="http://schemas.openxmlformats.org/officeDocument/2006/relationships/hyperlink" Target="https://www.ti.com/tool/2MTR-DYNO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www.amazon.com/BNTECHGO-Electric-Gauge-Tinned-Copper/dp/B0852V18W1/ref=sr_1_20?crid=19R7MK3B2CUJV&amp;dib=eyJ2IjoiMSJ9.RyiS7pHjOW_ts_Egp6L6hIqDbHxk3zJGLWxD-NWelkEMN5zTPljnI8Ug4Df8_x6nORHNRAV085SF4ZSpCWaIzE1sduOGGW_F9vQBwXiFbpP-r0UDMRKp5uC9ZYZG0pEbhv9XYZ7bp1Y36FCoEZFH9ZmntPGiXZRz4LmfCAFL5IcD6Uw2Kgz54Y-n7imXIkdQFPzsaf3JQ-czkDnIHWEnCBLPvME87G3KO_opA-2JQUeeGgRx6ixexmoI9w8SGzFyo8nBeaKmtfSZwDMuJRVQJkB1nsV5rV1t2qkBcOTcgFw._TUUPzW1-BTsz6SNVKWgAToAKgA0jfvFeIA41qAiMbU&amp;dib_tag=se&amp;keywords=20%2BAWG%2Bsingle%2Bstrand%2Bwire&amp;qid=1771790509&amp;s=hi&amp;sprefix=20%2Bawg%2Bsingle%2Bstrand%2Bwir%2Ctools%2C198&amp;sr=1-20&amp;th=1" TargetMode="External"/><Relationship Id="rId5" Type="http://schemas.openxmlformats.org/officeDocument/2006/relationships/hyperlink" Target="https://www.ti.com/tool/BOOSTXL-DRV8305EVM" TargetMode="External"/><Relationship Id="rId6" Type="http://schemas.openxmlformats.org/officeDocument/2006/relationships/hyperlink" Target="https://www.digikey.com/en/products/detail/texas-instruments/BOOSTXL-DRV8305EVM/5761583" TargetMode="External"/><Relationship Id="rId7" Type="http://schemas.openxmlformats.org/officeDocument/2006/relationships/hyperlink" Target="https://www.mouser.com/ProductDetail/Texas-Instruments/BOOSTXL-DRV8305EVM?qs=Fobv33ltQGjq5TUavsUsrA%3D%3D" TargetMode="External"/><Relationship Id="rId8" Type="http://schemas.openxmlformats.org/officeDocument/2006/relationships/hyperlink" Target="https://www.ti.com/tool/LAUNCHXL-F28069M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ruggedmade.com/lovejoy-style-jaw-coupling-hub-l050-size-5-8-bore.html" TargetMode="External"/><Relationship Id="rId10" Type="http://schemas.openxmlformats.org/officeDocument/2006/relationships/hyperlink" Target="https://thebigbearingstore.com/l050-series-l-jaw-shaft-coupling-half-1-4-5-8-bore-options/" TargetMode="External"/><Relationship Id="rId13" Type="http://schemas.openxmlformats.org/officeDocument/2006/relationships/hyperlink" Target="https://ruggedmade.com/lovejoy-style-jaw-coupling-spider-insert-l050-size.html" TargetMode="External"/><Relationship Id="rId12" Type="http://schemas.openxmlformats.org/officeDocument/2006/relationships/hyperlink" Target="https://thebigbearingstore.com/l050-series-l-jaw-rubber-spider-insert/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testequity.com/product/51134-1-TA041?gad_source=1&amp;gad_campaignid=17424156653&amp;gbraid=0AAAAACbfxe2sTjL22FpcmXvjyWTFCE_kp&amp;gclid=CjwKCAjw89jGBhB0EiwA2o1On13359J1VfI760k987tRYkglMU3si6lbQEzFhuvNRqiGTfJPrwhDzhoCmgkQAvD_BwE" TargetMode="External"/><Relationship Id="rId9" Type="http://schemas.openxmlformats.org/officeDocument/2006/relationships/hyperlink" Target="https://www.testequity.com/product/20005157-UPO1204" TargetMode="External"/><Relationship Id="rId15" Type="http://schemas.openxmlformats.org/officeDocument/2006/relationships/vmlDrawing" Target="../drawings/vmlDrawing1.vml"/><Relationship Id="rId14" Type="http://schemas.openxmlformats.org/officeDocument/2006/relationships/drawing" Target="../drawings/drawing2.xml"/><Relationship Id="rId5" Type="http://schemas.openxmlformats.org/officeDocument/2006/relationships/hyperlink" Target="https://www.tequipment.net/Siglent/DPB1300/Active-Differential-Oscilloscope-Probes/?Source=googleshopping&amp;gad_source=1&amp;gad_campaignid=21089227821&amp;gbraid=0AAAAA9blpJWd7ldc6f9eTjWYSLc31jhzx&amp;gclid=CjwKCAjw89jGBhB0EiwA2o1On1F7vjeLeWBaMgjC1dTTd87nToSLbDXoGQ2SCtRA0l595A0ao3SdlBoCKZ4QAvD_BwE" TargetMode="External"/><Relationship Id="rId6" Type="http://schemas.openxmlformats.org/officeDocument/2006/relationships/hyperlink" Target="https://www.tequipment.net/AEMCSL261.html?Source=googleshopping&amp;srsltid=AfmBOorX6L4sR8NBlqvjcvMCXo3rj8NIdNdUGyVdUWhgkcMylKVL7hypV-o" TargetMode="External"/><Relationship Id="rId7" Type="http://schemas.openxmlformats.org/officeDocument/2006/relationships/hyperlink" Target="https://www.testequity.com/product/20005234-UT-P41" TargetMode="External"/><Relationship Id="rId8" Type="http://schemas.openxmlformats.org/officeDocument/2006/relationships/hyperlink" Target="https://www.digikey.com/en/products/detail/siglent-technologies-na-inc/SDS1052DL-/104551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27.63"/>
    <col customWidth="1" min="6" max="6" width="43.63"/>
    <col customWidth="1" min="9" max="9" width="106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1" t="s">
        <v>9</v>
      </c>
    </row>
    <row r="2">
      <c r="A2" s="6" t="s">
        <v>10</v>
      </c>
      <c r="B2" s="6" t="s">
        <v>11</v>
      </c>
      <c r="C2" s="7">
        <v>1.0</v>
      </c>
      <c r="D2" s="8" t="s">
        <v>12</v>
      </c>
      <c r="E2" s="9">
        <v>3.27</v>
      </c>
      <c r="F2" s="10" t="s">
        <v>13</v>
      </c>
      <c r="G2" s="11" t="s">
        <v>14</v>
      </c>
      <c r="H2" s="12">
        <v>3.7</v>
      </c>
      <c r="I2" s="6" t="s">
        <v>15</v>
      </c>
      <c r="J2" s="13" t="s">
        <v>16</v>
      </c>
    </row>
    <row r="3">
      <c r="A3" s="6" t="s">
        <v>17</v>
      </c>
      <c r="B3" s="13" t="s">
        <v>18</v>
      </c>
      <c r="C3" s="7">
        <v>1.0</v>
      </c>
      <c r="D3" s="8" t="s">
        <v>19</v>
      </c>
      <c r="E3" s="9">
        <v>36.86</v>
      </c>
      <c r="F3" s="10" t="s">
        <v>20</v>
      </c>
      <c r="G3" s="8" t="s">
        <v>21</v>
      </c>
      <c r="H3" s="9">
        <v>40.41</v>
      </c>
      <c r="I3" s="13" t="s">
        <v>22</v>
      </c>
      <c r="J3" s="13" t="s">
        <v>23</v>
      </c>
    </row>
    <row r="4">
      <c r="A4" s="13" t="s">
        <v>24</v>
      </c>
      <c r="B4" s="13" t="s">
        <v>25</v>
      </c>
      <c r="C4" s="13">
        <v>2.0</v>
      </c>
      <c r="D4" s="14" t="s">
        <v>26</v>
      </c>
      <c r="E4" s="12">
        <v>79.0</v>
      </c>
      <c r="F4" s="13" t="s">
        <v>27</v>
      </c>
      <c r="G4" s="15" t="s">
        <v>28</v>
      </c>
      <c r="H4" s="16">
        <v>94.8</v>
      </c>
      <c r="I4" s="14" t="s">
        <v>29</v>
      </c>
      <c r="J4" s="13" t="s">
        <v>30</v>
      </c>
    </row>
    <row r="5">
      <c r="A5" s="13" t="s">
        <v>31</v>
      </c>
      <c r="B5" s="13" t="s">
        <v>32</v>
      </c>
      <c r="C5" s="13">
        <v>1.0</v>
      </c>
      <c r="D5" s="14" t="s">
        <v>33</v>
      </c>
      <c r="E5" s="12">
        <v>39.0</v>
      </c>
      <c r="F5" s="13" t="s">
        <v>34</v>
      </c>
      <c r="G5" s="13"/>
      <c r="H5" s="16"/>
      <c r="I5" s="6"/>
      <c r="J5" s="13" t="s">
        <v>35</v>
      </c>
    </row>
    <row r="6">
      <c r="A6" s="13" t="s">
        <v>36</v>
      </c>
      <c r="B6" s="13" t="s">
        <v>37</v>
      </c>
      <c r="C6" s="13">
        <v>1.0</v>
      </c>
      <c r="D6" s="14" t="s">
        <v>38</v>
      </c>
      <c r="E6" s="12">
        <v>425.0</v>
      </c>
      <c r="F6" s="13" t="s">
        <v>39</v>
      </c>
      <c r="G6" s="15" t="s">
        <v>40</v>
      </c>
      <c r="H6" s="16">
        <v>510.0</v>
      </c>
      <c r="I6" s="13"/>
      <c r="J6" s="13" t="s">
        <v>41</v>
      </c>
    </row>
    <row r="7">
      <c r="A7" s="17" t="s">
        <v>42</v>
      </c>
      <c r="B7" s="18" t="s">
        <v>43</v>
      </c>
      <c r="C7" s="19">
        <v>1.0</v>
      </c>
      <c r="D7" s="20" t="s">
        <v>44</v>
      </c>
      <c r="E7" s="19">
        <v>7.68</v>
      </c>
      <c r="F7" s="19" t="s">
        <v>45</v>
      </c>
      <c r="G7" s="20" t="s">
        <v>46</v>
      </c>
      <c r="H7" s="21">
        <v>5.5</v>
      </c>
      <c r="J7" s="19" t="s">
        <v>47</v>
      </c>
    </row>
    <row r="8">
      <c r="A8" s="19" t="s">
        <v>48</v>
      </c>
      <c r="B8" s="19" t="s">
        <v>49</v>
      </c>
      <c r="C8" s="19">
        <v>1.0</v>
      </c>
      <c r="D8" s="20" t="s">
        <v>50</v>
      </c>
      <c r="E8" s="21">
        <v>8.48</v>
      </c>
      <c r="F8" s="10" t="s">
        <v>51</v>
      </c>
      <c r="G8" s="22" t="s">
        <v>52</v>
      </c>
      <c r="H8" s="16">
        <v>7.48</v>
      </c>
      <c r="I8" s="19" t="s">
        <v>53</v>
      </c>
      <c r="J8" s="19"/>
    </row>
    <row r="11">
      <c r="E11" s="23">
        <f>SUMPRODUCT(C2:C10, E2:E10)
</f>
        <v>678.29</v>
      </c>
      <c r="H11" s="24">
        <f>SUMPRODUCT(C2:C10, H2:H10)
</f>
        <v>756.69</v>
      </c>
    </row>
    <row r="12">
      <c r="C12" s="21"/>
      <c r="E12" s="21"/>
    </row>
    <row r="13">
      <c r="C13" s="21"/>
      <c r="E13" s="21"/>
    </row>
    <row r="18">
      <c r="B18" s="8"/>
      <c r="C18" s="9"/>
      <c r="D18" s="8"/>
      <c r="E18" s="9"/>
    </row>
    <row r="19">
      <c r="B19" s="8"/>
      <c r="C19" s="9"/>
      <c r="D19" s="8"/>
      <c r="E19" s="9"/>
    </row>
    <row r="20">
      <c r="B20" s="6"/>
      <c r="C20" s="6"/>
      <c r="D20" s="6"/>
      <c r="E20" s="6"/>
    </row>
  </sheetData>
  <hyperlinks>
    <hyperlink r:id="rId1" ref="D2"/>
    <hyperlink r:id="rId2" ref="G2"/>
    <hyperlink r:id="rId3" ref="D3"/>
    <hyperlink r:id="rId4" ref="G3"/>
    <hyperlink r:id="rId5" location="order-start-development" ref="D4"/>
    <hyperlink r:id="rId6" ref="G4"/>
    <hyperlink r:id="rId7" ref="I4"/>
    <hyperlink r:id="rId8" location="order-start-development" ref="D5"/>
    <hyperlink r:id="rId9" ref="D6"/>
    <hyperlink r:id="rId10" ref="G6"/>
    <hyperlink r:id="rId11" ref="D7"/>
    <hyperlink r:id="rId12" ref="G7"/>
    <hyperlink r:id="rId13" ref="D8"/>
    <hyperlink r:id="rId14" ref="G8"/>
  </hyperlinks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6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54</v>
      </c>
      <c r="G1" s="3" t="s">
        <v>6</v>
      </c>
      <c r="H1" s="3" t="s">
        <v>7</v>
      </c>
      <c r="I1" s="5" t="s">
        <v>8</v>
      </c>
    </row>
    <row r="2">
      <c r="A2" s="6" t="s">
        <v>55</v>
      </c>
      <c r="B2" s="13" t="s">
        <v>56</v>
      </c>
      <c r="C2" s="25">
        <v>2.0</v>
      </c>
      <c r="D2" s="26" t="s">
        <v>57</v>
      </c>
      <c r="E2" s="9">
        <v>479.0</v>
      </c>
      <c r="F2" s="12" t="s">
        <v>58</v>
      </c>
      <c r="G2" s="8" t="s">
        <v>59</v>
      </c>
      <c r="H2" s="9">
        <v>562.0</v>
      </c>
      <c r="I2" s="6" t="s">
        <v>60</v>
      </c>
    </row>
    <row r="3">
      <c r="A3" s="6" t="s">
        <v>61</v>
      </c>
      <c r="B3" s="13" t="s">
        <v>62</v>
      </c>
      <c r="C3" s="7">
        <v>2.0</v>
      </c>
      <c r="D3" s="8" t="s">
        <v>63</v>
      </c>
      <c r="E3" s="9">
        <v>474.02</v>
      </c>
      <c r="F3" s="12" t="s">
        <v>58</v>
      </c>
      <c r="G3" s="8" t="s">
        <v>64</v>
      </c>
      <c r="H3" s="9">
        <v>567.0</v>
      </c>
      <c r="I3" s="6" t="s">
        <v>65</v>
      </c>
    </row>
    <row r="4">
      <c r="A4" s="13" t="s">
        <v>66</v>
      </c>
      <c r="B4" s="13" t="s">
        <v>67</v>
      </c>
      <c r="C4" s="13">
        <v>1.0</v>
      </c>
      <c r="D4" s="14" t="s">
        <v>68</v>
      </c>
      <c r="E4" s="16">
        <v>300.0</v>
      </c>
      <c r="F4" s="12" t="s">
        <v>58</v>
      </c>
      <c r="G4" s="14" t="s">
        <v>69</v>
      </c>
      <c r="H4" s="16">
        <v>600.0</v>
      </c>
      <c r="I4" s="6"/>
    </row>
    <row r="5">
      <c r="A5" s="19"/>
      <c r="B5" s="19"/>
      <c r="C5" s="19"/>
      <c r="D5" s="27"/>
      <c r="E5" s="21"/>
      <c r="F5" s="10"/>
      <c r="H5" s="16"/>
      <c r="I5" s="19"/>
    </row>
    <row r="7">
      <c r="A7" s="6"/>
      <c r="C7" s="13"/>
      <c r="D7" s="8"/>
      <c r="E7" s="28"/>
      <c r="F7" s="6"/>
      <c r="G7" s="8"/>
      <c r="H7" s="28"/>
      <c r="I7" s="19"/>
      <c r="J7" s="19"/>
    </row>
    <row r="8">
      <c r="A8" s="6" t="s">
        <v>70</v>
      </c>
      <c r="C8" s="13">
        <v>2.0</v>
      </c>
      <c r="D8" s="8" t="s">
        <v>71</v>
      </c>
      <c r="E8" s="28">
        <v>3.65</v>
      </c>
      <c r="F8" s="6"/>
      <c r="G8" s="8" t="s">
        <v>72</v>
      </c>
      <c r="H8" s="28">
        <v>5.99</v>
      </c>
      <c r="I8" s="19" t="s">
        <v>73</v>
      </c>
      <c r="J8" s="19" t="s">
        <v>74</v>
      </c>
    </row>
    <row r="9">
      <c r="A9" s="6" t="s">
        <v>75</v>
      </c>
      <c r="C9" s="13">
        <v>1.0</v>
      </c>
      <c r="D9" s="8" t="s">
        <v>76</v>
      </c>
      <c r="E9" s="28">
        <v>1.4</v>
      </c>
      <c r="F9" s="6"/>
      <c r="G9" s="8" t="s">
        <v>77</v>
      </c>
      <c r="H9" s="28">
        <v>4.99</v>
      </c>
      <c r="I9" s="19" t="s">
        <v>78</v>
      </c>
      <c r="J9" s="19" t="s">
        <v>74</v>
      </c>
    </row>
  </sheetData>
  <hyperlinks>
    <hyperlink r:id="rId4" ref="D2"/>
    <hyperlink r:id="rId5" ref="G2"/>
    <hyperlink r:id="rId6" ref="D3"/>
    <hyperlink r:id="rId7" ref="G3"/>
    <hyperlink r:id="rId8" ref="D4"/>
    <hyperlink r:id="rId9" ref="G4"/>
    <hyperlink r:id="rId10" ref="D8"/>
    <hyperlink r:id="rId11" ref="G8"/>
    <hyperlink r:id="rId12" ref="D9"/>
    <hyperlink r:id="rId13" ref="G9"/>
  </hyperlinks>
  <drawing r:id="rId14"/>
  <legacyDrawing r:id="rId15"/>
</worksheet>
</file>